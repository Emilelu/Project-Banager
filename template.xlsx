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Files\Projects\Project-Banager\"/>
    </mc:Choice>
  </mc:AlternateContent>
  <xr:revisionPtr revIDLastSave="0" documentId="13_ncr:1_{2A1087C8-0E3A-48E3-BCC1-B1416ECCE3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atching | 追番" sheetId="1" r:id="rId1"/>
    <sheet name="Remaining | 等番" sheetId="5" r:id="rId2"/>
    <sheet name="Watched | 回忆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G22" i="1" l="1"/>
  <c r="F2" i="5" l="1"/>
  <c r="F4" i="5" l="1"/>
  <c r="G4" i="5"/>
  <c r="F5" i="5" s="1"/>
  <c r="B24" i="1"/>
  <c r="C22" i="1" l="1"/>
</calcChain>
</file>

<file path=xl/sharedStrings.xml><?xml version="1.0" encoding="utf-8"?>
<sst xmlns="http://schemas.openxmlformats.org/spreadsheetml/2006/main" count="65" uniqueCount="64">
  <si>
    <t>今天是</t>
    <phoneticPr fontId="1" type="noConversion"/>
  </si>
  <si>
    <t>Name</t>
    <phoneticPr fontId="1" type="noConversion"/>
  </si>
  <si>
    <t>Time</t>
    <phoneticPr fontId="1" type="noConversion"/>
  </si>
  <si>
    <t>函数参考值：</t>
    <phoneticPr fontId="1" type="noConversion"/>
  </si>
  <si>
    <t>检查 Remaining</t>
    <phoneticPr fontId="1" type="noConversion"/>
  </si>
  <si>
    <t>现在是：</t>
    <phoneticPr fontId="1" type="noConversion"/>
  </si>
  <si>
    <t>东京爱情故事</t>
  </si>
  <si>
    <t>Tuesday</t>
    <phoneticPr fontId="1" type="noConversion"/>
  </si>
  <si>
    <t>Monday</t>
    <phoneticPr fontId="1" type="noConversion"/>
  </si>
  <si>
    <t>Wednesday</t>
    <phoneticPr fontId="1" type="noConversion"/>
  </si>
  <si>
    <t>Thursday</t>
    <phoneticPr fontId="1" type="noConversion"/>
  </si>
  <si>
    <t>Friday</t>
    <phoneticPr fontId="1" type="noConversion"/>
  </si>
  <si>
    <t>Saturday</t>
    <phoneticPr fontId="1" type="noConversion"/>
  </si>
  <si>
    <t>Sunday</t>
    <phoneticPr fontId="1" type="noConversion"/>
  </si>
  <si>
    <t>白色巨塔</t>
  </si>
  <si>
    <t>谋杀之谜：亡者的秘密</t>
  </si>
  <si>
    <t>银魂真人版</t>
  </si>
  <si>
    <t>黄昏旅店</t>
  </si>
  <si>
    <t xml:space="preserve">一兆游戏 </t>
  </si>
  <si>
    <t>武士老师</t>
  </si>
  <si>
    <t>替身Another</t>
  </si>
  <si>
    <t>花束般的恋爱</t>
  </si>
  <si>
    <t>看完则移至 Remaining / Watched↓</t>
  </si>
  <si>
    <t>1公升的泪</t>
  </si>
  <si>
    <t>今夜，就算这份爱恋从世界上消失</t>
  </si>
  <si>
    <t>VIVANT 2</t>
  </si>
  <si>
    <t>2026/07</t>
  </si>
  <si>
    <t>情书</t>
  </si>
  <si>
    <t>母亲</t>
  </si>
  <si>
    <t>热点</t>
  </si>
  <si>
    <t>想一个人死去</t>
  </si>
  <si>
    <t>人生删除事务所</t>
  </si>
  <si>
    <t>去唱卡拉OK吧！（真人电影）</t>
  </si>
  <si>
    <t>机动搜查队404</t>
  </si>
  <si>
    <t>最后的里程</t>
  </si>
  <si>
    <t>骗不了人的男人</t>
  </si>
  <si>
    <t>轮到你了</t>
  </si>
  <si>
    <t>远程遇害</t>
  </si>
  <si>
    <t>镰仓物语</t>
  </si>
  <si>
    <t>影响</t>
  </si>
  <si>
    <t>华丽一族</t>
  </si>
  <si>
    <t>盗钥匙的方法</t>
  </si>
  <si>
    <t>告白</t>
  </si>
  <si>
    <t>大逃杀</t>
  </si>
  <si>
    <t>夏日口袋</t>
  </si>
  <si>
    <t>9-nine- 支配者的王冠</t>
  </si>
  <si>
    <t>BAD GIRL</t>
  </si>
  <si>
    <t>噬亡村</t>
  </si>
  <si>
    <t>劇場版『暗殺教室』みんなの時間</t>
  </si>
  <si>
    <t>富豪教师</t>
  </si>
  <si>
    <t>在池中</t>
  </si>
  <si>
    <t>罗斯福游戏</t>
  </si>
  <si>
    <t>笑面推销员(真人版电视剧)</t>
  </si>
  <si>
    <t>野原广志 午餐的流派</t>
  </si>
  <si>
    <t>3年Z组银八老师</t>
  </si>
  <si>
    <t>间谍教室</t>
    <phoneticPr fontId="1" type="noConversion"/>
  </si>
  <si>
    <t>笑面推销员NEW</t>
  </si>
  <si>
    <t>七个会议</t>
  </si>
  <si>
    <t>欢迎来到实力至上主义的教室4 e11</t>
  </si>
  <si>
    <t>租借女友5 e7</t>
  </si>
  <si>
    <t>Dr. STONE 4 Part3 e1</t>
  </si>
  <si>
    <t>开口说日语——小春去日本</t>
  </si>
  <si>
    <t>我是大哥大</t>
  </si>
  <si>
    <t xml:space="preserve">      星期 时间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</si>
</sst>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_);[Red]\(0.00\)"/>
    <numFmt numFmtId="166" formatCode="yyyy&quot;年&quot;m&quot;月&quot;;@"/>
  </numFmts>
  <fonts count="2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rgb="FFFF0000"/>
      <name val="Calibri"/>
      <family val="3"/>
      <charset val="134"/>
      <scheme val="minor"/>
    </font>
    <font>
      <sz val="14"/>
      <color theme="1"/>
      <name val="Calibri"/>
      <family val="3"/>
      <charset val="134"/>
      <scheme val="minor"/>
    </font>
    <font>
      <sz val="20"/>
      <color theme="1"/>
      <name val="Calibri"/>
      <family val="3"/>
      <charset val="134"/>
      <scheme val="minor"/>
    </font>
    <font>
      <b/>
      <sz val="16"/>
      <color rgb="FFFF0000"/>
      <name val="Calibri"/>
      <family val="3"/>
      <charset val="134"/>
      <scheme val="minor"/>
    </font>
    <font>
      <b/>
      <sz val="20"/>
      <color rgb="FFFF0000"/>
      <name val="Calibri"/>
      <family val="3"/>
      <charset val="134"/>
      <scheme val="minor"/>
    </font>
    <font>
      <sz val="22"/>
      <color rgb="FFFFFF00"/>
      <name val="Calibri"/>
      <family val="2"/>
      <scheme val="minor"/>
    </font>
    <font>
      <sz val="16"/>
      <color theme="1"/>
      <name val="Calibri"/>
      <family val="3"/>
      <charset val="134"/>
      <scheme val="minor"/>
    </font>
    <font>
      <sz val="14"/>
      <color theme="0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b/>
      <sz val="10"/>
      <color theme="1" tint="0.14999847407452621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3"/>
      <charset val="134"/>
      <scheme val="minor"/>
    </font>
    <font>
      <b/>
      <sz val="16"/>
      <color theme="0"/>
      <name val="Calibri"/>
      <family val="3"/>
      <charset val="134"/>
      <scheme val="minor"/>
    </font>
    <font>
      <b/>
      <sz val="16"/>
      <color theme="10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b/>
      <sz val="16"/>
      <color rgb="FFFA7D00"/>
      <name val="Calibri"/>
      <family val="2"/>
      <charset val="134"/>
      <scheme val="minor"/>
    </font>
    <font>
      <sz val="14"/>
      <color theme="1"/>
      <name val="微软雅黑"/>
      <family val="2"/>
      <charset val="134"/>
    </font>
    <font>
      <sz val="14"/>
      <color theme="1"/>
      <name val="微软雅黑"/>
      <family val="3"/>
      <charset val="134"/>
    </font>
    <font>
      <sz val="11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6" fillId="7" borderId="4" applyNumberFormat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165" fontId="0" fillId="0" borderId="0" xfId="0" applyNumberFormat="1"/>
    <xf numFmtId="165" fontId="3" fillId="0" borderId="0" xfId="0" applyNumberFormat="1" applyFont="1"/>
    <xf numFmtId="49" fontId="3" fillId="0" borderId="0" xfId="0" applyNumberFormat="1" applyFont="1" applyAlignment="1">
      <alignment horizontal="left"/>
    </xf>
    <xf numFmtId="165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2" fillId="0" borderId="0" xfId="0" applyFont="1"/>
    <xf numFmtId="165" fontId="14" fillId="5" borderId="5" xfId="0" applyNumberFormat="1" applyFont="1" applyFill="1" applyBorder="1"/>
    <xf numFmtId="166" fontId="14" fillId="5" borderId="3" xfId="0" applyNumberFormat="1" applyFont="1" applyFill="1" applyBorder="1"/>
    <xf numFmtId="165" fontId="14" fillId="6" borderId="3" xfId="0" applyNumberFormat="1" applyFont="1" applyFill="1" applyBorder="1"/>
    <xf numFmtId="165" fontId="14" fillId="6" borderId="3" xfId="0" applyNumberFormat="1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7" fillId="7" borderId="3" xfId="2" applyFont="1" applyBorder="1" applyAlignment="1">
      <alignment horizontal="center" vertical="center"/>
    </xf>
    <xf numFmtId="0" fontId="17" fillId="7" borderId="6" xfId="2" applyFont="1" applyBorder="1" applyAlignment="1">
      <alignment horizontal="center" vertical="center"/>
    </xf>
  </cellXfs>
  <cellStyles count="3">
    <cellStyle name="常规" xfId="0" builtinId="0"/>
    <cellStyle name="计算" xfId="2" builtinId="22"/>
    <cellStyle name="超链接" xfId="1" builtinId="8"/>
  </cellStyles>
  <dxfs count="7">
    <dxf>
      <font>
        <b/>
        <i/>
        <color theme="0"/>
      </font>
      <fill>
        <patternFill>
          <bgColor rgb="FF00B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bili.com/video/BV1eAdgB4Eac?p=2" TargetMode="External"/><Relationship Id="rId2" Type="http://schemas.openxmlformats.org/officeDocument/2006/relationships/hyperlink" Target="https://space.bilibili.com/690151424/search?keyword=%E7%A7%9F%E5%80%9F" TargetMode="External"/><Relationship Id="rId1" Type="http://schemas.openxmlformats.org/officeDocument/2006/relationships/hyperlink" Target="https://www.bilibili.com/video/BV1899EBqEt1?p=4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115" zoomScaleNormal="115" workbookViewId="0">
      <selection activeCell="E15" sqref="E15"/>
    </sheetView>
  </sheetViews>
  <sheetFormatPr defaultColWidth="9" defaultRowHeight="14.4"/>
  <cols>
    <col min="1" max="1" width="7.88671875" style="1" customWidth="1"/>
    <col min="2" max="2" width="54.44140625" style="1" customWidth="1"/>
    <col min="3" max="3" width="16.5546875" style="1" customWidth="1"/>
    <col min="4" max="4" width="28" style="1" customWidth="1"/>
    <col min="5" max="5" width="22.33203125" style="1" customWidth="1"/>
    <col min="6" max="6" width="19.33203125" style="1" customWidth="1"/>
    <col min="7" max="7" width="20.88671875" style="1" customWidth="1"/>
    <col min="8" max="8" width="35.5546875" style="1" customWidth="1"/>
    <col min="9" max="9" width="9" style="1"/>
    <col min="10" max="10" width="40.33203125" style="1" bestFit="1" customWidth="1"/>
    <col min="11" max="11" width="9" style="1"/>
    <col min="12" max="12" width="12.6640625" style="1" bestFit="1" customWidth="1"/>
    <col min="13" max="13" width="9" style="1"/>
    <col min="14" max="14" width="28.44140625" style="1" bestFit="1" customWidth="1"/>
    <col min="15" max="16384" width="9" style="1"/>
  </cols>
  <sheetData>
    <row r="1" spans="1:13" ht="18"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18">
      <c r="B2" s="3"/>
      <c r="C2" s="3"/>
      <c r="D2" s="28" t="s">
        <v>22</v>
      </c>
      <c r="E2" s="29"/>
      <c r="F2" s="29"/>
      <c r="G2" s="3"/>
      <c r="H2" s="3"/>
      <c r="I2" s="3"/>
      <c r="J2" s="3"/>
      <c r="K2" s="3"/>
      <c r="L2" s="3"/>
    </row>
    <row r="3" spans="1:13" ht="18">
      <c r="B3" s="3"/>
      <c r="C3" s="3"/>
      <c r="D3" s="29"/>
      <c r="E3" s="29"/>
      <c r="F3" s="29"/>
      <c r="G3" s="3"/>
      <c r="H3" s="3"/>
      <c r="I3" s="3"/>
      <c r="J3" s="3"/>
      <c r="K3" s="3"/>
      <c r="L3" s="3"/>
    </row>
    <row r="4" spans="1:13" ht="18">
      <c r="B4" s="3"/>
      <c r="C4" s="3"/>
      <c r="D4" s="30"/>
      <c r="E4" s="30"/>
      <c r="F4" s="30"/>
      <c r="G4" s="3"/>
      <c r="H4" s="3"/>
      <c r="I4" s="3"/>
      <c r="J4" s="3"/>
      <c r="K4" s="3"/>
      <c r="L4" s="3"/>
    </row>
    <row r="5" spans="1:13" ht="18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8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18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9" spans="1:13" ht="27.6">
      <c r="A9" s="6" t="s">
        <v>63</v>
      </c>
      <c r="B9" s="4" t="s">
        <v>8</v>
      </c>
      <c r="C9" s="4" t="s">
        <v>7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2"/>
      <c r="K9" s="2"/>
      <c r="M9" s="2"/>
    </row>
    <row r="10" spans="1:13" ht="19.2">
      <c r="A10" s="5">
        <v>2.0833333333333332E-2</v>
      </c>
      <c r="B10" s="18"/>
      <c r="C10" s="18"/>
      <c r="D10" s="18"/>
      <c r="E10" s="18"/>
      <c r="F10" s="18"/>
      <c r="G10" s="18"/>
      <c r="I10" s="2"/>
      <c r="K10" s="2"/>
      <c r="L10" s="2"/>
      <c r="M10" s="2"/>
    </row>
    <row r="11" spans="1:13" ht="19.2">
      <c r="A11" s="5">
        <v>4.5138888888888888E-2</v>
      </c>
      <c r="B11" s="18"/>
      <c r="C11" s="18"/>
      <c r="D11" s="18"/>
      <c r="E11" s="18"/>
      <c r="F11" s="18"/>
      <c r="G11" s="18"/>
      <c r="H11" s="18"/>
      <c r="I11" s="2"/>
      <c r="K11" s="2"/>
      <c r="L11" s="2"/>
      <c r="M11" s="2"/>
    </row>
    <row r="12" spans="1:13" ht="19.2">
      <c r="A12" s="5">
        <v>0.35416666666666669</v>
      </c>
      <c r="B12" s="18"/>
      <c r="C12" s="18"/>
      <c r="D12" s="18"/>
      <c r="E12" s="18"/>
      <c r="F12" s="18"/>
      <c r="G12" s="18"/>
      <c r="H12" s="18"/>
      <c r="I12" s="2"/>
      <c r="J12" s="2"/>
      <c r="K12" s="2"/>
      <c r="L12" s="2"/>
      <c r="M12" s="2"/>
    </row>
    <row r="13" spans="1:13" ht="19.2">
      <c r="A13" s="5">
        <v>0.5</v>
      </c>
      <c r="B13" s="18"/>
      <c r="C13" s="18"/>
      <c r="D13" s="18"/>
      <c r="E13" s="18"/>
      <c r="F13" s="18"/>
      <c r="I13" s="2"/>
      <c r="K13" s="2"/>
      <c r="L13" s="2"/>
      <c r="M13" s="2"/>
    </row>
    <row r="14" spans="1:13" ht="19.2">
      <c r="A14" s="5">
        <v>0.85416666666666663</v>
      </c>
      <c r="B14" s="18" t="s">
        <v>58</v>
      </c>
      <c r="C14" s="18"/>
      <c r="D14" s="18"/>
      <c r="G14" s="18"/>
      <c r="H14" s="18" t="s">
        <v>60</v>
      </c>
      <c r="I14" s="2"/>
      <c r="K14" s="2"/>
      <c r="M14" s="2"/>
    </row>
    <row r="15" spans="1:13" ht="19.2">
      <c r="A15" s="5">
        <v>0.875</v>
      </c>
      <c r="B15" s="18"/>
      <c r="C15" s="18"/>
      <c r="D15" s="18"/>
      <c r="E15" s="18"/>
      <c r="F15" s="18"/>
      <c r="G15" s="18"/>
      <c r="H15" s="18"/>
      <c r="I15" s="2"/>
      <c r="K15" s="2"/>
      <c r="M15" s="2"/>
    </row>
    <row r="16" spans="1:13" ht="19.2">
      <c r="A16" s="5">
        <v>0.91666666666666663</v>
      </c>
      <c r="E16" s="18"/>
      <c r="F16" s="18"/>
      <c r="G16" s="18"/>
      <c r="H16" s="18"/>
      <c r="I16" s="2"/>
      <c r="J16" s="2"/>
      <c r="K16" s="2"/>
      <c r="L16" s="2"/>
      <c r="M16" s="2"/>
    </row>
    <row r="17" spans="1:14" ht="19.2">
      <c r="A17" s="5">
        <v>0.9375</v>
      </c>
      <c r="B17" s="18"/>
      <c r="C17" s="18"/>
      <c r="D17" s="18" t="s">
        <v>59</v>
      </c>
      <c r="E17" s="18"/>
      <c r="F17" s="18"/>
      <c r="G17" s="18"/>
      <c r="H17" s="18"/>
      <c r="I17" s="2"/>
      <c r="J17" s="2"/>
      <c r="K17" s="2"/>
      <c r="L17" s="2"/>
      <c r="M17" s="2"/>
    </row>
    <row r="18" spans="1:14" ht="19.2">
      <c r="A18" s="5">
        <v>0.95833333333333337</v>
      </c>
      <c r="B18" s="18"/>
      <c r="C18" s="18"/>
      <c r="D18" s="18"/>
      <c r="E18" s="18"/>
      <c r="F18" s="18"/>
      <c r="G18" s="18"/>
      <c r="H18" s="18"/>
      <c r="I18" s="2"/>
      <c r="J18" s="2"/>
      <c r="K18" s="2"/>
      <c r="L18" s="2"/>
      <c r="M18" s="2"/>
    </row>
    <row r="19" spans="1:14" ht="18">
      <c r="A19" s="2"/>
      <c r="B19" s="2"/>
      <c r="C19" s="2"/>
      <c r="D19" s="2"/>
      <c r="E19" s="2"/>
      <c r="G19" s="2"/>
      <c r="H19" s="2"/>
      <c r="I19" s="2"/>
      <c r="J19" s="2"/>
      <c r="K19" s="2"/>
      <c r="L19" s="2"/>
      <c r="M19" s="2"/>
      <c r="N19" s="2"/>
    </row>
    <row r="20" spans="1:14" ht="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B22" s="32" t="s">
        <v>0</v>
      </c>
      <c r="C22" s="31" t="str">
        <f ca="1">TEXT(TODAY(),"dddd")</f>
        <v>Saturday</v>
      </c>
      <c r="D22" s="31"/>
      <c r="E22" s="31"/>
      <c r="F22" s="31"/>
      <c r="G22" s="27">
        <f ca="1">NOW()-TODAY()</f>
        <v>3.5682638888829388E-2</v>
      </c>
      <c r="H22" s="27"/>
    </row>
    <row r="23" spans="1:14">
      <c r="B23" s="32"/>
      <c r="C23" s="31"/>
      <c r="D23" s="31"/>
      <c r="E23" s="31"/>
      <c r="F23" s="31"/>
      <c r="G23" s="27"/>
      <c r="H23" s="27"/>
    </row>
    <row r="24" spans="1:14">
      <c r="B24" s="33" t="str">
        <f ca="1">"现在是 "&amp;YEAR(TODAY())&amp;"/"&amp;MONTH(TODAY())</f>
        <v>现在是 2026/5</v>
      </c>
      <c r="C24" s="34" t="str">
        <f ca="1">IF(
COUNTIF('Remaining | 等番'!B:B, TEXT(NOW(),"yyyy")&amp;"/"&amp;TEXT(NOW(),"mm"))
&gt;0,"需要","暂不需要")</f>
        <v>暂不需要</v>
      </c>
      <c r="D24" s="36" t="s">
        <v>4</v>
      </c>
      <c r="E24" s="36"/>
      <c r="F24" s="36"/>
      <c r="G24" s="27"/>
      <c r="H24" s="27"/>
    </row>
    <row r="25" spans="1:14">
      <c r="B25" s="33"/>
      <c r="C25" s="35"/>
      <c r="D25" s="36"/>
      <c r="E25" s="36"/>
      <c r="F25" s="36"/>
      <c r="G25" s="27"/>
      <c r="H25" s="27"/>
    </row>
  </sheetData>
  <mergeCells count="7">
    <mergeCell ref="G22:H25"/>
    <mergeCell ref="D2:F4"/>
    <mergeCell ref="C22:F23"/>
    <mergeCell ref="B22:B23"/>
    <mergeCell ref="B24:B25"/>
    <mergeCell ref="C24:C25"/>
    <mergeCell ref="D24:F25"/>
  </mergeCells>
  <phoneticPr fontId="1" type="noConversion"/>
  <conditionalFormatting sqref="A10:A18">
    <cfRule type="cellIs" dxfId="6" priority="7" operator="greaterThanOrEqual">
      <formula>$G$22</formula>
    </cfRule>
    <cfRule type="cellIs" dxfId="5" priority="8" operator="lessThanOrEqual">
      <formula>$G$22</formula>
    </cfRule>
  </conditionalFormatting>
  <conditionalFormatting sqref="A14:A17">
    <cfRule type="cellIs" dxfId="4" priority="2" operator="greaterThanOrEqual">
      <formula>$G$22</formula>
    </cfRule>
    <cfRule type="cellIs" dxfId="3" priority="3" operator="lessThanOrEqual">
      <formula>$G$22</formula>
    </cfRule>
  </conditionalFormatting>
  <conditionalFormatting sqref="B9:H9">
    <cfRule type="cellIs" dxfId="2" priority="5" operator="notEqual">
      <formula>$C$22</formula>
    </cfRule>
    <cfRule type="cellIs" dxfId="1" priority="6" operator="equal">
      <formula>$C$22</formula>
    </cfRule>
  </conditionalFormatting>
  <hyperlinks>
    <hyperlink ref="D24:F25" location="'Remaining | 等番'!A1" display="检查 Remaining" xr:uid="{00000000-0004-0000-0000-000000000000}"/>
    <hyperlink ref="B14" r:id="rId1" xr:uid="{8314ED2E-0991-4DDE-9B90-74E334ACCA9C}"/>
    <hyperlink ref="D17" r:id="rId2" xr:uid="{410F37FD-D1D2-46BB-A7B0-3BA52924D12F}"/>
    <hyperlink ref="H14" r:id="rId3" xr:uid="{D07AF860-16FF-42C8-BB02-1290F38D7815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="115" zoomScaleNormal="115" workbookViewId="0">
      <selection activeCell="D3" sqref="D3"/>
    </sheetView>
  </sheetViews>
  <sheetFormatPr defaultColWidth="9" defaultRowHeight="19.2"/>
  <cols>
    <col min="1" max="1" width="44.44140625" style="8" bestFit="1" customWidth="1"/>
    <col min="2" max="2" width="10.77734375" style="9" customWidth="1"/>
    <col min="3" max="3" width="8" style="19" bestFit="1" customWidth="1"/>
    <col min="4" max="5" width="9" style="12"/>
    <col min="6" max="6" width="20.77734375" style="7" bestFit="1" customWidth="1"/>
    <col min="7" max="16384" width="9" style="7"/>
  </cols>
  <sheetData>
    <row r="1" spans="1:7" ht="21">
      <c r="A1" s="10" t="s">
        <v>1</v>
      </c>
      <c r="B1" s="11" t="s">
        <v>2</v>
      </c>
      <c r="C1" s="11"/>
      <c r="F1" s="14" t="s">
        <v>5</v>
      </c>
    </row>
    <row r="2" spans="1:7" ht="21">
      <c r="A2" s="8" t="s">
        <v>25</v>
      </c>
      <c r="B2" s="9" t="s">
        <v>26</v>
      </c>
      <c r="F2" s="15">
        <f ca="1">NOW()</f>
        <v>46158.035682638889</v>
      </c>
    </row>
    <row r="3" spans="1:7" ht="21">
      <c r="A3" s="8" t="s">
        <v>48</v>
      </c>
      <c r="B3" s="9" t="s">
        <v>26</v>
      </c>
      <c r="F3" s="16" t="s">
        <v>3</v>
      </c>
    </row>
    <row r="4" spans="1:7" ht="21">
      <c r="F4" s="17" t="str">
        <f ca="1">TEXT(F2,"yyyy")&amp;"/"&amp;TEXT(F2,"mm")</f>
        <v>2026/05</v>
      </c>
      <c r="G4" s="13" t="str">
        <f ca="1">TEXT(F2,"yyyy")&amp;TEXT(F2,"mm")</f>
        <v>202605</v>
      </c>
    </row>
    <row r="5" spans="1:7">
      <c r="F5" s="37" t="str">
        <f ca="1">IF(OR(TEXT(F2,"mm")="01",TEXT(F2,"mm")="04",TEXT(F2,"mm")="07",TEXT(F2,"mm")="10"),HYPERLINK("https://xf.hmacg.cn/xfb.php?t="&amp;G4,"本月新番列表"),HYPERLINK("","本月没有新番"))</f>
        <v>本月没有新番</v>
      </c>
      <c r="G5"/>
    </row>
    <row r="6" spans="1:7">
      <c r="F6" s="38"/>
    </row>
  </sheetData>
  <sortState xmlns:xlrd2="http://schemas.microsoft.com/office/spreadsheetml/2017/richdata2" ref="A2:B5">
    <sortCondition ref="B4:B5"/>
  </sortState>
  <mergeCells count="1">
    <mergeCell ref="F5:F6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BA59518-7CA8-4745-94EE-1E8E75A78069}">
            <xm:f>NOT(ISERROR(SEARCH($F$4,B1)))</xm:f>
            <xm:f>$F$4</xm:f>
            <x14:dxf>
              <font>
                <b/>
                <i/>
                <color theme="0"/>
              </font>
              <fill>
                <patternFill>
                  <bgColor rgb="FF00B050"/>
                </patternFill>
              </fill>
            </x14:dxf>
          </x14:cfRule>
          <xm:sqref>B1:C2 B2:B1048576 C3:C1048576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7"/>
  <sheetViews>
    <sheetView zoomScaleNormal="100" workbookViewId="0">
      <selection activeCell="C7" sqref="C7"/>
    </sheetView>
  </sheetViews>
  <sheetFormatPr defaultColWidth="8.88671875" defaultRowHeight="14.4"/>
  <cols>
    <col min="1" max="1" width="31.5546875" style="20" bestFit="1" customWidth="1"/>
    <col min="2" max="2" width="25.6640625" style="20" bestFit="1" customWidth="1"/>
    <col min="3" max="16384" width="8.88671875" style="20"/>
  </cols>
  <sheetData>
    <row r="1" spans="1:2" s="1" customFormat="1" ht="16.2" thickBot="1">
      <c r="A1" s="21">
        <v>2025</v>
      </c>
      <c r="B1" s="21">
        <v>2026</v>
      </c>
    </row>
    <row r="2" spans="1:2" ht="15.6">
      <c r="A2" s="22" t="s">
        <v>15</v>
      </c>
      <c r="B2" s="24" t="s">
        <v>56</v>
      </c>
    </row>
    <row r="3" spans="1:2" ht="15.6">
      <c r="A3" s="24" t="s">
        <v>16</v>
      </c>
      <c r="B3" s="24" t="s">
        <v>57</v>
      </c>
    </row>
    <row r="4" spans="1:2" ht="15.6">
      <c r="A4" s="24" t="s">
        <v>17</v>
      </c>
      <c r="B4" s="24" t="s">
        <v>61</v>
      </c>
    </row>
    <row r="5" spans="1:2" ht="16.2" thickBot="1">
      <c r="A5" s="24" t="s">
        <v>18</v>
      </c>
      <c r="B5" s="26" t="s">
        <v>62</v>
      </c>
    </row>
    <row r="6" spans="1:2" ht="15.6">
      <c r="A6" s="24" t="s">
        <v>19</v>
      </c>
      <c r="B6" s="23"/>
    </row>
    <row r="7" spans="1:2" ht="15.6">
      <c r="A7" s="24" t="s">
        <v>20</v>
      </c>
      <c r="B7" s="23"/>
    </row>
    <row r="8" spans="1:2" ht="15.6">
      <c r="A8" s="24" t="s">
        <v>21</v>
      </c>
      <c r="B8" s="23"/>
    </row>
    <row r="9" spans="1:2" ht="15.6">
      <c r="A9" s="24" t="s">
        <v>23</v>
      </c>
      <c r="B9" s="23"/>
    </row>
    <row r="10" spans="1:2" ht="15.6">
      <c r="A10" s="24" t="s">
        <v>24</v>
      </c>
      <c r="B10" s="23"/>
    </row>
    <row r="11" spans="1:2" ht="15.6">
      <c r="A11" s="24" t="s">
        <v>27</v>
      </c>
      <c r="B11" s="23"/>
    </row>
    <row r="12" spans="1:2" ht="15.6">
      <c r="A12" s="24" t="s">
        <v>28</v>
      </c>
      <c r="B12" s="23"/>
    </row>
    <row r="13" spans="1:2" ht="15.6">
      <c r="A13" s="24" t="s">
        <v>29</v>
      </c>
      <c r="B13" s="23"/>
    </row>
    <row r="14" spans="1:2" ht="15.6">
      <c r="A14" s="24" t="s">
        <v>30</v>
      </c>
      <c r="B14" s="23"/>
    </row>
    <row r="15" spans="1:2" ht="15.6">
      <c r="A15" s="24" t="s">
        <v>31</v>
      </c>
      <c r="B15" s="23"/>
    </row>
    <row r="16" spans="1:2" ht="15.6">
      <c r="A16" s="24" t="s">
        <v>32</v>
      </c>
      <c r="B16" s="23"/>
    </row>
    <row r="17" spans="1:2" ht="15.6">
      <c r="A17" s="24" t="s">
        <v>33</v>
      </c>
      <c r="B17" s="23"/>
    </row>
    <row r="18" spans="1:2" ht="15.6">
      <c r="A18" s="24" t="s">
        <v>34</v>
      </c>
      <c r="B18" s="23"/>
    </row>
    <row r="19" spans="1:2" ht="15.6">
      <c r="A19" s="24" t="s">
        <v>35</v>
      </c>
      <c r="B19" s="23"/>
    </row>
    <row r="20" spans="1:2" ht="15.6">
      <c r="A20" s="24" t="s">
        <v>36</v>
      </c>
      <c r="B20" s="23"/>
    </row>
    <row r="21" spans="1:2" ht="15.6">
      <c r="A21" s="24" t="s">
        <v>37</v>
      </c>
      <c r="B21" s="23"/>
    </row>
    <row r="22" spans="1:2" ht="15.6">
      <c r="A22" s="24" t="s">
        <v>38</v>
      </c>
      <c r="B22" s="23"/>
    </row>
    <row r="23" spans="1:2" ht="15.6">
      <c r="A23" s="24" t="s">
        <v>39</v>
      </c>
      <c r="B23" s="23"/>
    </row>
    <row r="24" spans="1:2" ht="15.6">
      <c r="A24" s="24" t="s">
        <v>40</v>
      </c>
      <c r="B24" s="25"/>
    </row>
    <row r="25" spans="1:2" ht="15.6">
      <c r="A25" s="24" t="s">
        <v>41</v>
      </c>
      <c r="B25" s="23"/>
    </row>
    <row r="26" spans="1:2" ht="15.6">
      <c r="A26" s="24" t="s">
        <v>42</v>
      </c>
      <c r="B26" s="23"/>
    </row>
    <row r="27" spans="1:2" ht="15.6">
      <c r="A27" s="24" t="s">
        <v>43</v>
      </c>
      <c r="B27" s="23"/>
    </row>
    <row r="28" spans="1:2" ht="15.6">
      <c r="A28" s="24" t="s">
        <v>14</v>
      </c>
      <c r="B28" s="23"/>
    </row>
    <row r="29" spans="1:2" ht="15.6">
      <c r="A29" s="24" t="s">
        <v>44</v>
      </c>
      <c r="B29" s="23"/>
    </row>
    <row r="30" spans="1:2" ht="15.6">
      <c r="A30" s="24" t="s">
        <v>45</v>
      </c>
      <c r="B30" s="23"/>
    </row>
    <row r="31" spans="1:2" ht="15.6">
      <c r="A31" s="24" t="s">
        <v>46</v>
      </c>
      <c r="B31" s="23"/>
    </row>
    <row r="32" spans="1:2" ht="15.6">
      <c r="A32" s="24" t="s">
        <v>47</v>
      </c>
      <c r="B32" s="23"/>
    </row>
    <row r="33" spans="1:2" ht="15.6">
      <c r="A33" s="24" t="s">
        <v>49</v>
      </c>
      <c r="B33" s="23"/>
    </row>
    <row r="34" spans="1:2" ht="15.6">
      <c r="A34" s="24" t="s">
        <v>50</v>
      </c>
      <c r="B34" s="23"/>
    </row>
    <row r="35" spans="1:2" ht="15.6">
      <c r="A35" s="24" t="s">
        <v>51</v>
      </c>
      <c r="B35" s="23"/>
    </row>
    <row r="36" spans="1:2" ht="15.6">
      <c r="A36" s="24" t="s">
        <v>52</v>
      </c>
      <c r="B36" s="23"/>
    </row>
    <row r="37" spans="1:2" ht="15.6">
      <c r="A37" s="24" t="s">
        <v>53</v>
      </c>
      <c r="B37" s="23"/>
    </row>
    <row r="38" spans="1:2" ht="15.6">
      <c r="A38" s="24" t="s">
        <v>6</v>
      </c>
      <c r="B38" s="23"/>
    </row>
    <row r="39" spans="1:2" ht="15.6">
      <c r="A39" s="24" t="s">
        <v>54</v>
      </c>
      <c r="B39" s="23"/>
    </row>
    <row r="40" spans="1:2" ht="16.2" thickBot="1">
      <c r="A40" s="26" t="s">
        <v>55</v>
      </c>
      <c r="B40" s="23"/>
    </row>
    <row r="41" spans="1:2" ht="15.6">
      <c r="A41" s="23"/>
      <c r="B41" s="23"/>
    </row>
    <row r="42" spans="1:2" ht="15.6">
      <c r="A42" s="23"/>
      <c r="B42" s="23"/>
    </row>
    <row r="43" spans="1:2" ht="15.6">
      <c r="A43" s="23"/>
      <c r="B43" s="23"/>
    </row>
    <row r="44" spans="1:2" ht="15.6">
      <c r="A44" s="23"/>
      <c r="B44" s="23"/>
    </row>
    <row r="45" spans="1:2" ht="15.6">
      <c r="A45" s="23"/>
      <c r="B45" s="23"/>
    </row>
    <row r="46" spans="1:2" ht="15.6">
      <c r="A46" s="23"/>
      <c r="B46" s="23"/>
    </row>
    <row r="47" spans="1:2" ht="15.6">
      <c r="A47" s="23"/>
      <c r="B47" s="23"/>
    </row>
    <row r="48" spans="1:2" ht="15.6">
      <c r="A48" s="23"/>
      <c r="B48" s="23"/>
    </row>
    <row r="49" spans="1:2" ht="15.6">
      <c r="A49" s="23"/>
      <c r="B49" s="23"/>
    </row>
    <row r="50" spans="1:2" ht="15.6">
      <c r="A50" s="23"/>
      <c r="B50" s="23"/>
    </row>
    <row r="51" spans="1:2" ht="15.6">
      <c r="A51" s="23"/>
      <c r="B51" s="23"/>
    </row>
    <row r="52" spans="1:2" ht="15.6">
      <c r="A52" s="23"/>
      <c r="B52" s="23"/>
    </row>
    <row r="53" spans="1:2" ht="15.6">
      <c r="A53" s="23"/>
      <c r="B53" s="23"/>
    </row>
    <row r="54" spans="1:2" ht="15.6">
      <c r="A54" s="23"/>
      <c r="B54" s="23"/>
    </row>
    <row r="55" spans="1:2" ht="15.6">
      <c r="A55" s="23"/>
      <c r="B55" s="23"/>
    </row>
    <row r="56" spans="1:2" ht="15.6">
      <c r="A56" s="23"/>
      <c r="B56" s="23"/>
    </row>
    <row r="57" spans="1:2" ht="15.6">
      <c r="A57" s="23"/>
      <c r="B57" s="23"/>
    </row>
    <row r="58" spans="1:2" ht="15.6">
      <c r="A58" s="23"/>
      <c r="B58" s="23"/>
    </row>
    <row r="59" spans="1:2" ht="15.6">
      <c r="A59" s="23"/>
      <c r="B59" s="23"/>
    </row>
    <row r="60" spans="1:2" ht="15.6">
      <c r="A60" s="23"/>
      <c r="B60" s="23"/>
    </row>
    <row r="61" spans="1:2" ht="15.6">
      <c r="A61" s="23"/>
      <c r="B61" s="23"/>
    </row>
    <row r="62" spans="1:2" ht="15.6">
      <c r="A62" s="23"/>
      <c r="B62" s="23"/>
    </row>
    <row r="63" spans="1:2" ht="15.6">
      <c r="A63" s="23"/>
      <c r="B63" s="23"/>
    </row>
    <row r="64" spans="1:2" ht="15.6">
      <c r="A64" s="23"/>
      <c r="B64" s="23"/>
    </row>
    <row r="65" spans="1:2" ht="15.6">
      <c r="A65" s="23"/>
      <c r="B65" s="23"/>
    </row>
    <row r="66" spans="1:2" ht="15.6">
      <c r="A66" s="23"/>
      <c r="B66" s="23"/>
    </row>
    <row r="67" spans="1:2" ht="15.6">
      <c r="A67" s="23"/>
      <c r="B67" s="23"/>
    </row>
    <row r="68" spans="1:2" ht="15.6">
      <c r="A68" s="23"/>
      <c r="B68" s="23"/>
    </row>
    <row r="69" spans="1:2" ht="15.6">
      <c r="A69" s="23"/>
      <c r="B69" s="23"/>
    </row>
    <row r="70" spans="1:2" ht="15.6">
      <c r="A70" s="23"/>
      <c r="B70" s="23"/>
    </row>
    <row r="71" spans="1:2" ht="15.6">
      <c r="A71" s="23"/>
      <c r="B71" s="23"/>
    </row>
    <row r="72" spans="1:2" ht="15.6">
      <c r="A72" s="23"/>
      <c r="B72" s="23"/>
    </row>
    <row r="73" spans="1:2" ht="15.6">
      <c r="A73" s="23"/>
      <c r="B73" s="23"/>
    </row>
    <row r="74" spans="1:2" ht="15.6">
      <c r="A74" s="23"/>
      <c r="B74" s="23"/>
    </row>
    <row r="75" spans="1:2" ht="15.6">
      <c r="A75" s="23"/>
      <c r="B75" s="23"/>
    </row>
    <row r="76" spans="1:2" ht="15.6">
      <c r="A76" s="23"/>
      <c r="B76" s="23"/>
    </row>
    <row r="77" spans="1:2" ht="15.6">
      <c r="A77" s="23"/>
      <c r="B77" s="23"/>
    </row>
    <row r="78" spans="1:2" ht="15.6">
      <c r="A78" s="23"/>
      <c r="B78" s="23"/>
    </row>
    <row r="79" spans="1:2" ht="15.6">
      <c r="A79" s="23"/>
      <c r="B79" s="23"/>
    </row>
    <row r="80" spans="1:2" ht="15.6">
      <c r="A80" s="23"/>
      <c r="B80" s="23"/>
    </row>
    <row r="81" spans="1:2" ht="15.6">
      <c r="A81" s="23"/>
      <c r="B81" s="23"/>
    </row>
    <row r="82" spans="1:2" ht="15.6">
      <c r="A82" s="23"/>
      <c r="B82" s="23"/>
    </row>
    <row r="83" spans="1:2" ht="15.6">
      <c r="A83" s="23"/>
      <c r="B83" s="23"/>
    </row>
    <row r="84" spans="1:2" ht="15.6">
      <c r="A84" s="23"/>
      <c r="B84" s="23"/>
    </row>
    <row r="85" spans="1:2" ht="15.6">
      <c r="A85" s="23"/>
      <c r="B85" s="23"/>
    </row>
    <row r="86" spans="1:2" ht="15.6">
      <c r="B86" s="23"/>
    </row>
    <row r="87" spans="1:2" ht="15.6">
      <c r="B87" s="2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Watching | 追番</vt:lpstr>
      <vt:lpstr>Remaining | 等番</vt:lpstr>
      <vt:lpstr>Watched | 回忆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lu</dc:creator>
  <cp:lastModifiedBy>Emile lu</cp:lastModifiedBy>
  <dcterms:created xsi:type="dcterms:W3CDTF">2015-06-05T18:19:34Z</dcterms:created>
  <dcterms:modified xsi:type="dcterms:W3CDTF">2026-05-15T16:52:24Z</dcterms:modified>
</cp:coreProperties>
</file>